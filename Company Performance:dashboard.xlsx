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997927cb2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9d1ae6cb1c1469d"/>
    <x:sheet xmlns:r="http://schemas.openxmlformats.org/officeDocument/2006/relationships" name="Source Data" sheetId="2" r:id="R669db3456ef4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 yyyy"/>
    <x:numFmt numFmtId="201" formatCode="$#,##0;[Red]($#,##0);-"/>
    <x:numFmt numFmtId="202" formatCode="0.0%;[Red](0.0%);-"/>
    <x:numFmt numFmtId="203" formatCode="0.0%"/>
    <x:numFmt numFmtId="204" formatCode="€ #.##0,00;[Red](€ #.##0,00);-"/>
    <x:numFmt numFmtId="205" formatCode="[$€-407] #,##0.00;[Red]([$€-407] #,##0.00);-"/>
    <x:numFmt numFmtId="206" formatCode="[$€-402] #,##0.00;[Red]([$€-402] #,##0.00);-"/>
  </x:numFmts>
  <x:fonts count="12">
    <x:font>
      <x:sz val="11"/>
      <x:name val="Carlito"/>
    </x:font>
    <x:font>
      <x:b/>
      <x:sz val="16"/>
      <x:color rgb="FFFFFFFF"/>
      <x:name val="Aptos Display"/>
    </x:font>
    <x:font>
      <x:sz val="10"/>
      <x:color rgb="FF526273"/>
      <x:name val="Aptos"/>
    </x:font>
    <x:font>
      <x:b/>
      <x:sz val="10"/>
      <x:color rgb="FF17324D"/>
      <x:name val="Aptos"/>
    </x:font>
    <x:font>
      <x:sz val="10"/>
      <x:color rgb="FF243746"/>
      <x:name val="Aptos"/>
    </x:font>
    <x:font>
      <x:b/>
      <x:sz val="18"/>
      <x:color rgb="FFFFFFFF"/>
      <x:name val="Aptos Display"/>
    </x:font>
    <x:font>
      <x:b/>
      <x:sz val="16"/>
      <x:color rgb="FF17324D"/>
      <x:name val="Aptos Display"/>
    </x:font>
    <x:font>
      <x:b/>
      <x:sz val="11"/>
      <x:color rgb="FFFFFFFF"/>
      <x:name val="Aptos"/>
    </x:font>
    <x:font>
      <x:b/>
      <x:sz val="9"/>
      <x:color rgb="FF17324D"/>
      <x:name val="Aptos"/>
    </x:font>
    <x:font>
      <x:b/>
      <x:sz val="9"/>
      <x:color rgb="FF243746"/>
      <x:name val="Aptos"/>
    </x:font>
    <x:font>
      <x:sz val="9"/>
      <x:color rgb="FF243746"/>
      <x:name val="Aptos"/>
    </x:font>
    <x:font>
      <x:b/>
      <x:sz val="12"/>
      <x:color rgb="FF17324D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7F0"/>
      </x:patternFill>
    </x:fill>
    <x:fill>
      <x:patternFill patternType="solid">
        <x:fgColor rgb="FFF2F6FA"/>
      </x:patternFill>
    </x:fill>
    <x:fill>
      <x:patternFill patternType="solid">
        <x:fgColor rgb="FF2C587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FB3C8"/>
      </x:bottom>
      <x:diagonal/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201" fontId="6" fillId="4" borderId="0" xfId="0" applyNumberFormat="1" applyFont="1" applyFill="1" applyBorder="1" applyAlignment="1">
      <x:alignment horizontal="center" vertical="center"/>
    </x:xf>
    <x:xf numFmtId="203" fontId="6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203" fontId="10" fillId="0" borderId="0" xfId="0" applyNumberFormat="1" applyFont="1" applyFill="1" applyBorder="1"/>
    <x:xf numFmtId="204" fontId="4" fillId="0" borderId="0" xfId="0" applyNumberFormat="1" applyFont="1" applyFill="1" applyBorder="1"/>
    <x:xf numFmtId="204" fontId="4" fillId="4" borderId="0" xfId="0" applyNumberFormat="1" applyFont="1" applyFill="1" applyBorder="1"/>
    <x:xf numFmtId="204" fontId="6" fillId="4" borderId="0" xfId="0" applyNumberFormat="1" applyFont="1" applyFill="1" applyBorder="1" applyAlignment="1">
      <x:alignment horizontal="center" vertical="center"/>
    </x:xf>
    <x:xf numFmtId="204" fontId="10" fillId="0" borderId="0" xfId="0" applyNumberFormat="1" applyFont="1" applyFill="1" applyBorder="1"/>
    <x:xf numFmtId="205" fontId="4" fillId="0" borderId="0" xfId="0" applyNumberFormat="1" applyFont="1" applyFill="1" applyBorder="1"/>
    <x:xf numFmtId="205" fontId="4" fillId="4" borderId="0" xfId="0" applyNumberFormat="1" applyFont="1" applyFill="1" applyBorder="1"/>
    <x:xf numFmtId="205" fontId="6" fillId="4" borderId="0" xfId="0" applyNumberFormat="1" applyFont="1" applyFill="1" applyBorder="1" applyAlignment="1">
      <x:alignment horizontal="center" vertical="center"/>
    </x:xf>
    <x:xf numFmtId="205" fontId="10" fillId="0" borderId="0" xfId="0" applyNumberFormat="1" applyFont="1" applyFill="1" applyBorder="1"/>
    <x:xf numFmtId="206" fontId="4" fillId="0" borderId="0" xfId="0" applyNumberFormat="1" applyFont="1" applyFill="1" applyBorder="1"/>
    <x:xf numFmtId="206" fontId="4" fillId="4" borderId="0" xfId="0" applyNumberFormat="1" applyFont="1" applyFill="1" applyBorder="1"/>
    <x:xf numFmtId="206" fontId="6" fillId="4" borderId="0" xfId="0" applyNumberFormat="1" applyFont="1" applyFill="1" applyBorder="1" applyAlignment="1">
      <x:alignment horizontal="center" vertical="center"/>
    </x:xf>
    <x:xf numFmtId="206" fontId="10" fillId="0" borderId="0" xfId="0" applyNumberFormat="1" applyFont="1" applyFill="1" applyBorder="1"/>
    <x:xf numFmtId="206" fontId="11" fillId="4" borderId="0" xfId="0" applyNumberFormat="1" applyFont="1" applyFill="1" applyBorder="1" applyAlignment="1">
      <x:alignment horizontal="center" vertical="center"/>
    </x:xf>
    <x:xf numFmtId="203" fontId="11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6d3c83e9248a7" /><Relationship Type="http://schemas.openxmlformats.org/officeDocument/2006/relationships/theme" Target="/xl/theme/theme1.xml" Id="R6dff4eea599846c0" /><Relationship Type="http://schemas.openxmlformats.org/officeDocument/2006/relationships/sharedStrings" Target="/xl/sharedStrings.xml" Id="R002543cda5194c54" /><Relationship Type="http://schemas.openxmlformats.org/officeDocument/2006/relationships/worksheet" Target="/xl/worksheets/sheet1.xml" Id="Rf9d1ae6cb1c1469d" /><Relationship Type="http://schemas.openxmlformats.org/officeDocument/2006/relationships/worksheet" Target="/xl/worksheets/sheet2.xml" Id="R669db3456ef44c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2d50e047b64801" /><Relationship Type="http://schemas.openxmlformats.org/officeDocument/2006/relationships/chart" Target="/xl/drawings/charts/chart2.xml" Id="R360b7110282e49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ptos"/>
                <a:ea typeface="Aptos"/>
                <a:cs typeface="Aptos"/>
              </a:rPr>
              <a:t>Monthly Revenue | Budget vs Actual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 Budget</c:v>
          </c:tx>
          <c:marker>
            <c:symbol val="none"/>
          </c:marker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Revenue Actual</c:v>
          </c:tx>
          <c:marker>
            <c:symbol val="none"/>
          </c:marker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'Dashboard'!$C$10:$C$21</c:f>
              <c:numCache>
                <c:formatCode>$#,##0;[Red]($#,##0);-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ptos"/>
                <a:ea typeface="Aptos"/>
                <a:cs typeface="Aptos"/>
              </a:rPr>
              <a:t>Revenue and Profit by Segment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Revenue Actual</c:v>
          </c:tx>
          <c:cat>
            <c:strRef>
              <c:f>'Dashboard'!$I$10:$I$12</c:f>
              <c:strCache>
                <c:ptCount val="0"/>
              </c:strCache>
            </c:strRef>
          </c:cat>
          <c:val>
            <c:numRef>
              <c:f>'Dashboard'!$J$10:$J$12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Actual Profit</c:v>
          </c:tx>
          <c:cat>
            <c:strRef>
              <c:f>'Dashboard'!$I$10:$I$12</c:f>
              <c:strCache>
                <c:ptCount val="0"/>
              </c:strCache>
            </c:strRef>
          </c:cat>
          <c:val>
            <c:numRef>
              <c:f>'Dashboard'!$L$10:$L$12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2d50e047b6480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16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0b7110282e49a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39a4e8b41a4d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5" hidden="0" customWidth="1"/>
  </x:cols>
  <x:sheetData>
    <x:row r="1" ht="40" customHeight="1">
      <x:c r="A1" s="20" t="str">
        <x:v>COMPANY PERFORMANCE | 2025 PLAN VS ACTUAL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ht="25" customHeight="1">
      <x:c r="A2" s="21" t="str">
        <x:v>Fictional sample data • EUR • European number format: € 3.134.059,00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</x:row>
    <x:row r="4" ht="30" customHeight="1">
      <x:c r="A4" s="23" t="str">
        <x:v>Actual Revenue</x:v>
      </x:c>
      <x:c r="B4" s="23" t="str">
        <x:v>Revenue vs Budget</x:v>
      </x:c>
      <x:c r="C4" s="23" t="str">
        <x:v>Actual Profit</x:v>
      </x:c>
      <x:c r="D4" s="23" t="str">
        <x:v>Actual Profit Margin</x:v>
      </x:c>
      <x:c r="E4" s="23" t="str">
        <x:v>Profit vs Budget</x:v>
      </x:c>
    </x:row>
    <x:row r="5" ht="40" customHeight="1">
      <x:c r="A5" s="51" t="n">
        <x:f>SUM('Source Data'!D5:D40)</x:f>
        <x:v>3134059</x:v>
      </x:c>
      <x:c r="B5" s="51" t="n">
        <x:f>A5-SUM('Source Data'!C5:C40)</x:f>
        <x:v>123739</x:v>
      </x:c>
      <x:c r="C5" s="51" t="n">
        <x:f>SUM('Source Data'!I5:I40)</x:f>
        <x:v>1644788</x:v>
      </x:c>
      <x:c r="D5" s="52" t="n">
        <x:f>IFERROR(SUM('Source Data'!I5:I40)/SUM('Source Data'!D5:D40),0)</x:f>
        <x:v>0.524810796478305</x:v>
      </x:c>
      <x:c r="E5" s="51" t="n">
        <x:f>SUM('Source Data'!J5:J40)</x:f>
        <x:v>114667</x:v>
      </x:c>
    </x:row>
    <x:row r="8" ht="24" customHeight="1">
      <x:c r="A8" s="31" t="str">
        <x:v>MONTHLY RESULTS</x:v>
      </x:c>
      <x:c r="B8" s="31"/>
      <x:c r="C8" s="31"/>
      <x:c r="D8" s="31"/>
      <x:c r="E8" s="31"/>
      <x:c r="F8" s="31"/>
      <x:c r="G8" s="31"/>
      <x:c r="I8" s="31" t="str">
        <x:v>SEGMENT RESULTS</x:v>
      </x:c>
      <x:c r="J8" s="31"/>
      <x:c r="K8" s="31"/>
      <x:c r="L8" s="31"/>
      <x:c r="M8" s="31"/>
      <x:c r="N8" s="31"/>
    </x:row>
    <x:row r="9" ht="32" customHeight="1">
      <x:c r="A9" s="35" t="str">
        <x:v>Month</x:v>
      </x:c>
      <x:c r="B9" s="35" t="str">
        <x:v>Revenue Budget</x:v>
      </x:c>
      <x:c r="C9" s="35" t="str">
        <x:v>Revenue Actual</x:v>
      </x:c>
      <x:c r="D9" s="35" t="str">
        <x:v>Revenue Variance</x:v>
      </x:c>
      <x:c r="E9" s="35" t="str">
        <x:v>Profit Budget</x:v>
      </x:c>
      <x:c r="F9" s="35" t="str">
        <x:v>Profit Actual</x:v>
      </x:c>
      <x:c r="G9" s="35" t="str">
        <x:v>Profit Variance</x:v>
      </x:c>
      <x:c r="I9" s="35" t="str">
        <x:v>Segment</x:v>
      </x:c>
      <x:c r="J9" s="35" t="str">
        <x:v>Revenue Actual</x:v>
      </x:c>
      <x:c r="K9" s="35" t="str">
        <x:v>Revenue Variance</x:v>
      </x:c>
      <x:c r="L9" s="35" t="str">
        <x:v>Actual Profit</x:v>
      </x:c>
      <x:c r="M9" s="35" t="str">
        <x:v>Profit Variance</x:v>
      </x:c>
      <x:c r="N9" s="35" t="str">
        <x:v>Actual Margin</x:v>
      </x:c>
    </x:row>
    <x:row r="10">
      <x:c r="A10" s="36" t="str">
        <x:v>Jan</x:v>
      </x:c>
      <x:c r="B10" s="50" t="n">
        <x:f>SUMIFS('Source Data'!$C$5:$C$40,'Source Data'!$A$5:$A$40,"&gt;="&amp;DATE(2025,1,1),'Source Data'!$A$5:$A$40,"&lt;"&amp;DATE(2025,2,1))</x:f>
        <x:v>229683</x:v>
      </x:c>
      <x:c r="C10" s="50" t="n">
        <x:f>SUMIFS('Source Data'!$D$5:$D$40,'Source Data'!$A$5:$A$40,"&gt;="&amp;DATE(2025,1,1),'Source Data'!$A$5:$A$40,"&lt;"&amp;DATE(2025,2,1))</x:f>
        <x:v>228827</x:v>
      </x:c>
      <x:c r="D10" s="50" t="n">
        <x:f>C10-B10</x:f>
        <x:v>-856</x:v>
      </x:c>
      <x:c r="E10" s="50" t="n">
        <x:f>SUMIFS('Source Data'!$H$5:$H$40,'Source Data'!$A$5:$A$40,"&gt;="&amp;DATE(2025,1,1),'Source Data'!$A$5:$A$40,"&lt;"&amp;DATE(2025,2,1))</x:f>
        <x:v>116746</x:v>
      </x:c>
      <x:c r="F10" s="50" t="n">
        <x:f>SUMIFS('Source Data'!$I$5:$I$40,'Source Data'!$A$5:$A$40,"&gt;="&amp;DATE(2025,1,1),'Source Data'!$A$5:$A$40,"&lt;"&amp;DATE(2025,2,1))</x:f>
        <x:v>115478</x:v>
      </x:c>
      <x:c r="G10" s="50" t="n">
        <x:f>F10-E10</x:f>
        <x:v>-1268</x:v>
      </x:c>
      <x:c r="I10" s="36" t="str">
        <x:v>Product</x:v>
      </x:c>
      <x:c r="J10" s="50" t="n">
        <x:f>SUMIF('Source Data'!$B$5:$B$40,$I10,'Source Data'!$D$5:$D$40)</x:f>
        <x:v>1540944</x:v>
      </x:c>
      <x:c r="K10" s="50" t="n">
        <x:f>SUMIF('Source Data'!$B$5:$B$40,$I10,'Source Data'!$G$5:$G$40)</x:f>
        <x:v>62544</x:v>
      </x:c>
      <x:c r="L10" s="50" t="n">
        <x:f>SUMIF('Source Data'!$B$5:$B$40,$I10,'Source Data'!$I$5:$I$40)</x:f>
        <x:v>759908</x:v>
      </x:c>
      <x:c r="M10" s="50" t="n">
        <x:f>SUMIF('Source Data'!$B$5:$B$40,$I10,'Source Data'!$J$5:$J$40)</x:f>
        <x:v>57668</x:v>
      </x:c>
      <x:c r="N10" s="38" t="n">
        <x:f>IFERROR(L10/J10,0)</x:f>
        <x:v>0.49314446209596197</x:v>
      </x:c>
    </x:row>
    <x:row r="11">
      <x:c r="A11" s="36" t="str">
        <x:v>Feb</x:v>
      </x:c>
      <x:c r="B11" s="50" t="n">
        <x:f>SUMIFS('Source Data'!$C$5:$C$40,'Source Data'!$A$5:$A$40,"&gt;="&amp;DATE(2025,2,1),'Source Data'!$A$5:$A$40,"&lt;"&amp;DATE(2025,3,1))</x:f>
        <x:v>234570</x:v>
      </x:c>
      <x:c r="C11" s="50" t="n">
        <x:f>SUMIFS('Source Data'!$D$5:$D$40,'Source Data'!$A$5:$A$40,"&gt;="&amp;DATE(2025,2,1),'Source Data'!$A$5:$A$40,"&lt;"&amp;DATE(2025,3,1))</x:f>
        <x:v>238183</x:v>
      </x:c>
      <x:c r="D11" s="50" t="n">
        <x:f>C11-B11</x:f>
        <x:v>3613</x:v>
      </x:c>
      <x:c r="E11" s="50" t="n">
        <x:f>SUMIFS('Source Data'!$H$5:$H$40,'Source Data'!$A$5:$A$40,"&gt;="&amp;DATE(2025,2,1),'Source Data'!$A$5:$A$40,"&lt;"&amp;DATE(2025,3,1))</x:f>
        <x:v>119230</x:v>
      </x:c>
      <x:c r="F11" s="50" t="n">
        <x:f>SUMIFS('Source Data'!$I$5:$I$40,'Source Data'!$A$5:$A$40,"&gt;="&amp;DATE(2025,2,1),'Source Data'!$A$5:$A$40,"&lt;"&amp;DATE(2025,3,1))</x:f>
        <x:v>121986</x:v>
      </x:c>
      <x:c r="G11" s="50" t="n">
        <x:f>F11-E11</x:f>
        <x:v>2756</x:v>
      </x:c>
      <x:c r="I11" s="36" t="str">
        <x:v>Services</x:v>
      </x:c>
      <x:c r="J11" s="50" t="n">
        <x:f>SUMIF('Source Data'!$B$5:$B$40,$I11,'Source Data'!$D$5:$D$40)</x:f>
        <x:v>975828</x:v>
      </x:c>
      <x:c r="K11" s="50" t="n">
        <x:f>SUMIF('Source Data'!$B$5:$B$40,$I11,'Source Data'!$G$5:$G$40)</x:f>
        <x:v>37634</x:v>
      </x:c>
      <x:c r="L11" s="50" t="n">
        <x:f>SUMIF('Source Data'!$B$5:$B$40,$I11,'Source Data'!$I$5:$I$40)</x:f>
        <x:v>466642</x:v>
      </x:c>
      <x:c r="M11" s="50" t="n">
        <x:f>SUMIF('Source Data'!$B$5:$B$40,$I11,'Source Data'!$J$5:$J$40)</x:f>
        <x:v>34578</x:v>
      </x:c>
      <x:c r="N11" s="38" t="n">
        <x:f>IFERROR(L11/J11,0)</x:f>
        <x:v>0.478201076419205</x:v>
      </x:c>
    </x:row>
    <x:row r="12">
      <x:c r="A12" s="36" t="str">
        <x:v>Mar</x:v>
      </x:c>
      <x:c r="B12" s="50" t="n">
        <x:f>SUMIFS('Source Data'!$C$5:$C$40,'Source Data'!$A$5:$A$40,"&gt;="&amp;DATE(2025,3,1),'Source Data'!$A$5:$A$40,"&lt;"&amp;DATE(2025,4,1))</x:f>
        <x:v>239457</x:v>
      </x:c>
      <x:c r="C12" s="50" t="n">
        <x:f>SUMIFS('Source Data'!$D$5:$D$40,'Source Data'!$A$5:$A$40,"&gt;="&amp;DATE(2025,3,1),'Source Data'!$A$5:$A$40,"&lt;"&amp;DATE(2025,4,1))</x:f>
        <x:v>246249</x:v>
      </x:c>
      <x:c r="D12" s="50" t="n">
        <x:f>C12-B12</x:f>
        <x:v>6792</x:v>
      </x:c>
      <x:c r="E12" s="50" t="n">
        <x:f>SUMIFS('Source Data'!$H$5:$H$40,'Source Data'!$A$5:$A$40,"&gt;="&amp;DATE(2025,3,1),'Source Data'!$A$5:$A$40,"&lt;"&amp;DATE(2025,4,1))</x:f>
        <x:v>121714</x:v>
      </x:c>
      <x:c r="F12" s="50" t="n">
        <x:f>SUMIFS('Source Data'!$I$5:$I$40,'Source Data'!$A$5:$A$40,"&gt;="&amp;DATE(2025,3,1),'Source Data'!$A$5:$A$40,"&lt;"&amp;DATE(2025,4,1))</x:f>
        <x:v>129898</x:v>
      </x:c>
      <x:c r="G12" s="50" t="n">
        <x:f>F12-E12</x:f>
        <x:v>8184</x:v>
      </x:c>
      <x:c r="I12" s="36" t="str">
        <x:v>Subscriptions</x:v>
      </x:c>
      <x:c r="J12" s="50" t="n">
        <x:f>SUMIF('Source Data'!$B$5:$B$40,$I12,'Source Data'!$D$5:$D$40)</x:f>
        <x:v>617287</x:v>
      </x:c>
      <x:c r="K12" s="50" t="n">
        <x:f>SUMIF('Source Data'!$B$5:$B$40,$I12,'Source Data'!$G$5:$G$40)</x:f>
        <x:v>23561</x:v>
      </x:c>
      <x:c r="L12" s="50" t="n">
        <x:f>SUMIF('Source Data'!$B$5:$B$40,$I12,'Source Data'!$I$5:$I$40)</x:f>
        <x:v>418238</x:v>
      </x:c>
      <x:c r="M12" s="50" t="n">
        <x:f>SUMIF('Source Data'!$B$5:$B$40,$I12,'Source Data'!$J$5:$J$40)</x:f>
        <x:v>22421</x:v>
      </x:c>
      <x:c r="N12" s="38" t="n">
        <x:f>IFERROR(L12/J12,0)</x:f>
        <x:v>0.6775422129414681</x:v>
      </x:c>
    </x:row>
    <x:row r="13">
      <x:c r="A13" s="36" t="str">
        <x:v>Apr</x:v>
      </x:c>
      <x:c r="B13" s="50" t="n">
        <x:f>SUMIFS('Source Data'!$C$5:$C$40,'Source Data'!$A$5:$A$40,"&gt;="&amp;DATE(2025,4,1),'Source Data'!$A$5:$A$40,"&lt;"&amp;DATE(2025,5,1))</x:f>
        <x:v>244344</x:v>
      </x:c>
      <x:c r="C13" s="50" t="n">
        <x:f>SUMIFS('Source Data'!$D$5:$D$40,'Source Data'!$A$5:$A$40,"&gt;="&amp;DATE(2025,4,1),'Source Data'!$A$5:$A$40,"&lt;"&amp;DATE(2025,5,1))</x:f>
        <x:v>249159</x:v>
      </x:c>
      <x:c r="D13" s="50" t="n">
        <x:f>C13-B13</x:f>
        <x:v>4815</x:v>
      </x:c>
      <x:c r="E13" s="50" t="n">
        <x:f>SUMIFS('Source Data'!$H$5:$H$40,'Source Data'!$A$5:$A$40,"&gt;="&amp;DATE(2025,4,1),'Source Data'!$A$5:$A$40,"&lt;"&amp;DATE(2025,5,1))</x:f>
        <x:v>124198</x:v>
      </x:c>
      <x:c r="F13" s="50" t="n">
        <x:f>SUMIFS('Source Data'!$I$5:$I$40,'Source Data'!$A$5:$A$40,"&gt;="&amp;DATE(2025,4,1),'Source Data'!$A$5:$A$40,"&lt;"&amp;DATE(2025,5,1))</x:f>
        <x:v>126830</x:v>
      </x:c>
      <x:c r="G13" s="50" t="n">
        <x:f>F13-E13</x:f>
        <x:v>2632</x:v>
      </x:c>
    </x:row>
    <x:row r="14">
      <x:c r="A14" s="36" t="str">
        <x:v>May</x:v>
      </x:c>
      <x:c r="B14" s="50" t="n">
        <x:f>SUMIFS('Source Data'!$C$5:$C$40,'Source Data'!$A$5:$A$40,"&gt;="&amp;DATE(2025,5,1),'Source Data'!$A$5:$A$40,"&lt;"&amp;DATE(2025,6,1))</x:f>
        <x:v>246788</x:v>
      </x:c>
      <x:c r="C14" s="50" t="n">
        <x:f>SUMIFS('Source Data'!$D$5:$D$40,'Source Data'!$A$5:$A$40,"&gt;="&amp;DATE(2025,5,1),'Source Data'!$A$5:$A$40,"&lt;"&amp;DATE(2025,6,1))</x:f>
        <x:v>256367</x:v>
      </x:c>
      <x:c r="D14" s="50" t="n">
        <x:f>C14-B14</x:f>
        <x:v>9579</x:v>
      </x:c>
      <x:c r="E14" s="50" t="n">
        <x:f>SUMIFS('Source Data'!$H$5:$H$40,'Source Data'!$A$5:$A$40,"&gt;="&amp;DATE(2025,5,1),'Source Data'!$A$5:$A$40,"&lt;"&amp;DATE(2025,6,1))</x:f>
        <x:v>125440</x:v>
      </x:c>
      <x:c r="F14" s="50" t="n">
        <x:f>SUMIFS('Source Data'!$I$5:$I$40,'Source Data'!$A$5:$A$40,"&gt;="&amp;DATE(2025,5,1),'Source Data'!$A$5:$A$40,"&lt;"&amp;DATE(2025,6,1))</x:f>
        <x:v>135921</x:v>
      </x:c>
      <x:c r="G14" s="50" t="n">
        <x:f>F14-E14</x:f>
        <x:v>10481</x:v>
      </x:c>
    </x:row>
    <x:row r="15">
      <x:c r="A15" s="36" t="str">
        <x:v>Jun</x:v>
      </x:c>
      <x:c r="B15" s="50" t="n">
        <x:f>SUMIFS('Source Data'!$C$5:$C$40,'Source Data'!$A$5:$A$40,"&gt;="&amp;DATE(2025,6,1),'Source Data'!$A$5:$A$40,"&lt;"&amp;DATE(2025,7,1))</x:f>
        <x:v>249231</x:v>
      </x:c>
      <x:c r="C15" s="50" t="n">
        <x:f>SUMIFS('Source Data'!$D$5:$D$40,'Source Data'!$A$5:$A$40,"&gt;="&amp;DATE(2025,6,1),'Source Data'!$A$5:$A$40,"&lt;"&amp;DATE(2025,7,1))</x:f>
        <x:v>256835</x:v>
      </x:c>
      <x:c r="D15" s="50" t="n">
        <x:f>C15-B15</x:f>
        <x:v>7604</x:v>
      </x:c>
      <x:c r="E15" s="50" t="n">
        <x:f>SUMIFS('Source Data'!$H$5:$H$40,'Source Data'!$A$5:$A$40,"&gt;="&amp;DATE(2025,6,1),'Source Data'!$A$5:$A$40,"&lt;"&amp;DATE(2025,7,1))</x:f>
        <x:v>126682</x:v>
      </x:c>
      <x:c r="F15" s="50" t="n">
        <x:f>SUMIFS('Source Data'!$I$5:$I$40,'Source Data'!$A$5:$A$40,"&gt;="&amp;DATE(2025,6,1),'Source Data'!$A$5:$A$40,"&lt;"&amp;DATE(2025,7,1))</x:f>
        <x:v>131356</x:v>
      </x:c>
      <x:c r="G15" s="50" t="n">
        <x:f>F15-E15</x:f>
        <x:v>4674</x:v>
      </x:c>
    </x:row>
    <x:row r="16">
      <x:c r="A16" s="36" t="str">
        <x:v>Jul</x:v>
      </x:c>
      <x:c r="B16" s="50" t="n">
        <x:f>SUMIFS('Source Data'!$C$5:$C$40,'Source Data'!$A$5:$A$40,"&gt;="&amp;DATE(2025,7,1),'Source Data'!$A$5:$A$40,"&lt;"&amp;DATE(2025,8,1))</x:f>
        <x:v>251675</x:v>
      </x:c>
      <x:c r="C16" s="50" t="n">
        <x:f>SUMIFS('Source Data'!$D$5:$D$40,'Source Data'!$A$5:$A$40,"&gt;="&amp;DATE(2025,7,1),'Source Data'!$A$5:$A$40,"&lt;"&amp;DATE(2025,8,1))</x:f>
        <x:v>258943</x:v>
      </x:c>
      <x:c r="D16" s="50" t="n">
        <x:f>C16-B16</x:f>
        <x:v>7268</x:v>
      </x:c>
      <x:c r="E16" s="50" t="n">
        <x:f>SUMIFS('Source Data'!$H$5:$H$40,'Source Data'!$A$5:$A$40,"&gt;="&amp;DATE(2025,7,1),'Source Data'!$A$5:$A$40,"&lt;"&amp;DATE(2025,8,1))</x:f>
        <x:v>127925</x:v>
      </x:c>
      <x:c r="F16" s="50" t="n">
        <x:f>SUMIFS('Source Data'!$I$5:$I$40,'Source Data'!$A$5:$A$40,"&gt;="&amp;DATE(2025,7,1),'Source Data'!$A$5:$A$40,"&lt;"&amp;DATE(2025,8,1))</x:f>
        <x:v>137111</x:v>
      </x:c>
      <x:c r="G16" s="50" t="n">
        <x:f>F16-E16</x:f>
        <x:v>9186</x:v>
      </x:c>
    </x:row>
    <x:row r="17">
      <x:c r="A17" s="36" t="str">
        <x:v>Aug</x:v>
      </x:c>
      <x:c r="B17" s="50" t="n">
        <x:f>SUMIFS('Source Data'!$C$5:$C$40,'Source Data'!$A$5:$A$40,"&gt;="&amp;DATE(2025,8,1),'Source Data'!$A$5:$A$40,"&lt;"&amp;DATE(2025,9,1))</x:f>
        <x:v>254118</x:v>
      </x:c>
      <x:c r="C17" s="50" t="n">
        <x:f>SUMIFS('Source Data'!$D$5:$D$40,'Source Data'!$A$5:$A$40,"&gt;="&amp;DATE(2025,8,1),'Source Data'!$A$5:$A$40,"&lt;"&amp;DATE(2025,9,1))</x:f>
        <x:v>268192</x:v>
      </x:c>
      <x:c r="D17" s="50" t="n">
        <x:f>C17-B17</x:f>
        <x:v>14074</x:v>
      </x:c>
      <x:c r="E17" s="50" t="n">
        <x:f>SUMIFS('Source Data'!$H$5:$H$40,'Source Data'!$A$5:$A$40,"&gt;="&amp;DATE(2025,8,1),'Source Data'!$A$5:$A$40,"&lt;"&amp;DATE(2025,9,1))</x:f>
        <x:v>129166</x:v>
      </x:c>
      <x:c r="F17" s="50" t="n">
        <x:f>SUMIFS('Source Data'!$I$5:$I$40,'Source Data'!$A$5:$A$40,"&gt;="&amp;DATE(2025,8,1),'Source Data'!$A$5:$A$40,"&lt;"&amp;DATE(2025,9,1))</x:f>
        <x:v>140835</x:v>
      </x:c>
      <x:c r="G17" s="50" t="n">
        <x:f>F17-E17</x:f>
        <x:v>11669</x:v>
      </x:c>
    </x:row>
    <x:row r="18">
      <x:c r="A18" s="36" t="str">
        <x:v>Sep</x:v>
      </x:c>
      <x:c r="B18" s="50" t="n">
        <x:f>SUMIFS('Source Data'!$C$5:$C$40,'Source Data'!$A$5:$A$40,"&gt;="&amp;DATE(2025,9,1),'Source Data'!$A$5:$A$40,"&lt;"&amp;DATE(2025,10,1))</x:f>
        <x:v>249231</x:v>
      </x:c>
      <x:c r="C18" s="50" t="n">
        <x:f>SUMIFS('Source Data'!$D$5:$D$40,'Source Data'!$A$5:$A$40,"&gt;="&amp;DATE(2025,9,1),'Source Data'!$A$5:$A$40,"&lt;"&amp;DATE(2025,10,1))</x:f>
        <x:v>259987</x:v>
      </x:c>
      <x:c r="D18" s="50" t="n">
        <x:f>C18-B18</x:f>
        <x:v>10756</x:v>
      </x:c>
      <x:c r="E18" s="50" t="n">
        <x:f>SUMIFS('Source Data'!$H$5:$H$40,'Source Data'!$A$5:$A$40,"&gt;="&amp;DATE(2025,9,1),'Source Data'!$A$5:$A$40,"&lt;"&amp;DATE(2025,10,1))</x:f>
        <x:v>126682</x:v>
      </x:c>
      <x:c r="F18" s="50" t="n">
        <x:f>SUMIFS('Source Data'!$I$5:$I$40,'Source Data'!$A$5:$A$40,"&gt;="&amp;DATE(2025,9,1),'Source Data'!$A$5:$A$40,"&lt;"&amp;DATE(2025,10,1))</x:f>
        <x:v>139038</x:v>
      </x:c>
      <x:c r="G18" s="50" t="n">
        <x:f>F18-E18</x:f>
        <x:v>12356</x:v>
      </x:c>
    </x:row>
    <x:row r="19">
      <x:c r="A19" s="36" t="str">
        <x:v>Oct</x:v>
      </x:c>
      <x:c r="B19" s="50" t="n">
        <x:f>SUMIFS('Source Data'!$C$5:$C$40,'Source Data'!$A$5:$A$40,"&gt;="&amp;DATE(2025,10,1),'Source Data'!$A$5:$A$40,"&lt;"&amp;DATE(2025,11,1))</x:f>
        <x:v>256562</x:v>
      </x:c>
      <x:c r="C19" s="50" t="n">
        <x:f>SUMIFS('Source Data'!$D$5:$D$40,'Source Data'!$A$5:$A$40,"&gt;="&amp;DATE(2025,10,1),'Source Data'!$A$5:$A$40,"&lt;"&amp;DATE(2025,11,1))</x:f>
        <x:v>277142</x:v>
      </x:c>
      <x:c r="D19" s="50" t="n">
        <x:f>C19-B19</x:f>
        <x:v>20580</x:v>
      </x:c>
      <x:c r="E19" s="50" t="n">
        <x:f>SUMIFS('Source Data'!$H$5:$H$40,'Source Data'!$A$5:$A$40,"&gt;="&amp;DATE(2025,10,1),'Source Data'!$A$5:$A$40,"&lt;"&amp;DATE(2025,11,1))</x:f>
        <x:v>130409</x:v>
      </x:c>
      <x:c r="F19" s="50" t="n">
        <x:f>SUMIFS('Source Data'!$I$5:$I$40,'Source Data'!$A$5:$A$40,"&gt;="&amp;DATE(2025,10,1),'Source Data'!$A$5:$A$40,"&lt;"&amp;DATE(2025,11,1))</x:f>
        <x:v>148602</x:v>
      </x:c>
      <x:c r="G19" s="50" t="n">
        <x:f>F19-E19</x:f>
        <x:v>18193</x:v>
      </x:c>
    </x:row>
    <x:row r="20">
      <x:c r="A20" s="36" t="str">
        <x:v>Nov</x:v>
      </x:c>
      <x:c r="B20" s="50" t="n">
        <x:f>SUMIFS('Source Data'!$C$5:$C$40,'Source Data'!$A$5:$A$40,"&gt;="&amp;DATE(2025,11,1),'Source Data'!$A$5:$A$40,"&lt;"&amp;DATE(2025,12,1))</x:f>
        <x:v>266335</x:v>
      </x:c>
      <x:c r="C20" s="50" t="n">
        <x:f>SUMIFS('Source Data'!$D$5:$D$40,'Source Data'!$A$5:$A$40,"&gt;="&amp;DATE(2025,11,1),'Source Data'!$A$5:$A$40,"&lt;"&amp;DATE(2025,12,1))</x:f>
        <x:v>288152</x:v>
      </x:c>
      <x:c r="D20" s="50" t="n">
        <x:f>C20-B20</x:f>
        <x:v>21817</x:v>
      </x:c>
      <x:c r="E20" s="50" t="n">
        <x:f>SUMIFS('Source Data'!$H$5:$H$40,'Source Data'!$A$5:$A$40,"&gt;="&amp;DATE(2025,11,1),'Source Data'!$A$5:$A$40,"&lt;"&amp;DATE(2025,12,1))</x:f>
        <x:v>135376</x:v>
      </x:c>
      <x:c r="F20" s="50" t="n">
        <x:f>SUMIFS('Source Data'!$I$5:$I$40,'Source Data'!$A$5:$A$40,"&gt;="&amp;DATE(2025,11,1),'Source Data'!$A$5:$A$40,"&lt;"&amp;DATE(2025,12,1))</x:f>
        <x:v>156647</x:v>
      </x:c>
      <x:c r="G20" s="50" t="n">
        <x:f>F20-E20</x:f>
        <x:v>21271</x:v>
      </x:c>
    </x:row>
    <x:row r="21">
      <x:c r="A21" s="36" t="str">
        <x:v>Dec</x:v>
      </x:c>
      <x:c r="B21" s="50" t="n">
        <x:f>SUMIFS('Source Data'!$C$5:$C$40,'Source Data'!$A$5:$A$40,"&gt;="&amp;DATE(2025,12,1),'Source Data'!$A$5:$A$40,"&lt;"&amp;DATE(2025,13,1))</x:f>
        <x:v>288326</x:v>
      </x:c>
      <x:c r="C21" s="50" t="n">
        <x:f>SUMIFS('Source Data'!$D$5:$D$40,'Source Data'!$A$5:$A$40,"&gt;="&amp;DATE(2025,12,1),'Source Data'!$A$5:$A$40,"&lt;"&amp;DATE(2025,13,1))</x:f>
        <x:v>306023</x:v>
      </x:c>
      <x:c r="D21" s="50" t="n">
        <x:f>C21-B21</x:f>
        <x:v>17697</x:v>
      </x:c>
      <x:c r="E21" s="50" t="n">
        <x:f>SUMIFS('Source Data'!$H$5:$H$40,'Source Data'!$A$5:$A$40,"&gt;="&amp;DATE(2025,12,1),'Source Data'!$A$5:$A$40,"&lt;"&amp;DATE(2025,13,1))</x:f>
        <x:v>146553</x:v>
      </x:c>
      <x:c r="F21" s="50" t="n">
        <x:f>SUMIFS('Source Data'!$I$5:$I$40,'Source Data'!$A$5:$A$40,"&gt;="&amp;DATE(2025,12,1),'Source Data'!$A$5:$A$40,"&lt;"&amp;DATE(2025,13,1))</x:f>
        <x:v>161086</x:v>
      </x:c>
      <x:c r="G21" s="50" t="n">
        <x:f>F21-E21</x:f>
        <x:v>14533</x:v>
      </x:c>
    </x:row>
  </x:sheetData>
  <x:mergeCells>
    <x:mergeCell ref="A1:N1"/>
    <x:mergeCell ref="A2:N2"/>
    <x:mergeCell ref="A8:G8"/>
    <x:mergeCell ref="I8:N8"/>
  </x:mergeCells>
  <x:pageMargins left="0.7" right="0.7" top="0.75" bottom="0.75" header="0.3" footer="0.3"/>
  <x:drawing xmlns:r="http://schemas.openxmlformats.org/officeDocument/2006/relationships" r:id="R5239a4e8b41a4d0a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5" hidden="0" customWidth="1"/>
  </x:cols>
  <x:sheetData>
    <x:row r="1" ht="34" customHeight="1">
      <x:c r="A1" s="3" t="str">
        <x:v>MONTHLY PERFORMANCE | SOURCE DATA AND CALCULATIONS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3" customHeight="1">
      <x:c r="A2" s="4" t="str">
        <x:v>Synthetic planning example • EUR • Revenue variance = actual less budget • Cost variance = actual less budget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32" customHeight="1">
      <x:c r="A4" s="9" t="str">
        <x:v>Month</x:v>
      </x:c>
      <x:c r="B4" s="9" t="str">
        <x:v>Segment</x:v>
      </x:c>
      <x:c r="C4" s="9" t="str">
        <x:v>Budget Revenue</x:v>
      </x:c>
      <x:c r="D4" s="9" t="str">
        <x:v>Actual Revenue</x:v>
      </x:c>
      <x:c r="E4" s="9" t="str">
        <x:v>Budget Costs</x:v>
      </x:c>
      <x:c r="F4" s="9" t="str">
        <x:v>Actual Costs</x:v>
      </x:c>
      <x:c r="G4" s="9" t="str">
        <x:v>Revenue Variance</x:v>
      </x:c>
      <x:c r="H4" s="9" t="str">
        <x:v>Budget Profit</x:v>
      </x:c>
      <x:c r="I4" s="9" t="str">
        <x:v>Actual Profit</x:v>
      </x:c>
      <x:c r="J4" s="9" t="str">
        <x:v>Profit Variance</x:v>
      </x:c>
      <x:c r="K4" s="9" t="str">
        <x:v>Actual Margin</x:v>
      </x:c>
    </x:row>
    <x:row r="5">
      <x:c r="A5" s="13" t="d">
        <x:v>2025-01-01T00:00:00.000Z</x:v>
      </x:c>
      <x:c r="B5" s="14" t="str">
        <x:v>Product</x:v>
      </x:c>
      <x:c r="C5" s="47" t="n">
        <x:v>112800</x:v>
      </x:c>
      <x:c r="D5" s="47" t="n">
        <x:v>109416</x:v>
      </x:c>
      <x:c r="E5" s="47" t="n">
        <x:v>59220</x:v>
      </x:c>
      <x:c r="F5" s="47" t="n">
        <x:v>60404</x:v>
      </x:c>
      <x:c r="G5" s="48" t="n">
        <x:f>D5-C5</x:f>
        <x:v>-3384</x:v>
      </x:c>
      <x:c r="H5" s="48" t="n">
        <x:f>C5-E5</x:f>
        <x:v>53580</x:v>
      </x:c>
      <x:c r="I5" s="48" t="n">
        <x:f>D5-F5</x:f>
        <x:v>49012</x:v>
      </x:c>
      <x:c r="J5" s="48" t="n">
        <x:f>I5-H5</x:f>
        <x:v>-4568</x:v>
      </x:c>
      <x:c r="K5" s="18" t="n">
        <x:f>IFERROR(I5/D5,0)</x:f>
        <x:v>0.4479418001023616</x:v>
      </x:c>
    </x:row>
    <x:row r="6">
      <x:c r="A6" s="13" t="d">
        <x:v>2025-01-01T00:00:00.000Z</x:v>
      </x:c>
      <x:c r="B6" s="14" t="str">
        <x:v>Services</x:v>
      </x:c>
      <x:c r="C6" s="47" t="n">
        <x:v>71583</x:v>
      </x:c>
      <x:c r="D6" s="47" t="n">
        <x:v>72299</x:v>
      </x:c>
      <x:c r="E6" s="47" t="n">
        <x:v>38617</x:v>
      </x:c>
      <x:c r="F6" s="47" t="n">
        <x:v>37845</x:v>
      </x:c>
      <x:c r="G6" s="48" t="n">
        <x:f>D6-C6</x:f>
        <x:v>716</x:v>
      </x:c>
      <x:c r="H6" s="48" t="n">
        <x:f>C6-E6</x:f>
        <x:v>32966</x:v>
      </x:c>
      <x:c r="I6" s="48" t="n">
        <x:f>D6-F6</x:f>
        <x:v>34454</x:v>
      </x:c>
      <x:c r="J6" s="48" t="n">
        <x:f>I6-H6</x:f>
        <x:v>1488</x:v>
      </x:c>
      <x:c r="K6" s="18" t="n">
        <x:f>IFERROR(I6/D6,0)</x:f>
        <x:v>0.47654877660825185</x:v>
      </x:c>
    </x:row>
    <x:row r="7">
      <x:c r="A7" s="13" t="d">
        <x:v>2025-01-01T00:00:00.000Z</x:v>
      </x:c>
      <x:c r="B7" s="14" t="str">
        <x:v>Subscriptions</x:v>
      </x:c>
      <x:c r="C7" s="47" t="n">
        <x:v>45300</x:v>
      </x:c>
      <x:c r="D7" s="47" t="n">
        <x:v>47112</x:v>
      </x:c>
      <x:c r="E7" s="47" t="n">
        <x:v>15100</x:v>
      </x:c>
      <x:c r="F7" s="47" t="n">
        <x:v>15100</x:v>
      </x:c>
      <x:c r="G7" s="48" t="n">
        <x:f>D7-C7</x:f>
        <x:v>1812</x:v>
      </x:c>
      <x:c r="H7" s="48" t="n">
        <x:f>C7-E7</x:f>
        <x:v>30200</x:v>
      </x:c>
      <x:c r="I7" s="48" t="n">
        <x:f>D7-F7</x:f>
        <x:v>32012</x:v>
      </x:c>
      <x:c r="J7" s="48" t="n">
        <x:f>I7-H7</x:f>
        <x:v>1812</x:v>
      </x:c>
      <x:c r="K7" s="18" t="n">
        <x:f>IFERROR(I7/D7,0)</x:f>
        <x:v>0.6794871794871795</x:v>
      </x:c>
    </x:row>
    <x:row r="8">
      <x:c r="A8" s="13" t="d">
        <x:v>2025-02-01T00:00:00.000Z</x:v>
      </x:c>
      <x:c r="B8" s="14" t="str">
        <x:v>Product</x:v>
      </x:c>
      <x:c r="C8" s="47" t="n">
        <x:v>115200</x:v>
      </x:c>
      <x:c r="D8" s="47" t="n">
        <x:v>116352</x:v>
      </x:c>
      <x:c r="E8" s="47" t="n">
        <x:v>60480</x:v>
      </x:c>
      <x:c r="F8" s="47" t="n">
        <x:v>60480</x:v>
      </x:c>
      <x:c r="G8" s="48" t="n">
        <x:f>D8-C8</x:f>
        <x:v>1152</x:v>
      </x:c>
      <x:c r="H8" s="48" t="n">
        <x:f>C8-E8</x:f>
        <x:v>54720</x:v>
      </x:c>
      <x:c r="I8" s="48" t="n">
        <x:f>D8-F8</x:f>
        <x:v>55872</x:v>
      </x:c>
      <x:c r="J8" s="48" t="n">
        <x:f>I8-H8</x:f>
        <x:v>1152</x:v>
      </x:c>
      <x:c r="K8" s="18" t="n">
        <x:f>IFERROR(I8/D8,0)</x:f>
        <x:v>0.4801980198019802</x:v>
      </x:c>
    </x:row>
    <x:row r="9">
      <x:c r="A9" s="13" t="d">
        <x:v>2025-02-01T00:00:00.000Z</x:v>
      </x:c>
      <x:c r="B9" s="14" t="str">
        <x:v>Services</x:v>
      </x:c>
      <x:c r="C9" s="47" t="n">
        <x:v>73106</x:v>
      </x:c>
      <x:c r="D9" s="47" t="n">
        <x:v>76030</x:v>
      </x:c>
      <x:c r="E9" s="47" t="n">
        <x:v>39439</x:v>
      </x:c>
      <x:c r="F9" s="47" t="n">
        <x:v>39833</x:v>
      </x:c>
      <x:c r="G9" s="48" t="n">
        <x:f>D9-C9</x:f>
        <x:v>2924</x:v>
      </x:c>
      <x:c r="H9" s="48" t="n">
        <x:f>C9-E9</x:f>
        <x:v>33667</x:v>
      </x:c>
      <x:c r="I9" s="48" t="n">
        <x:f>D9-F9</x:f>
        <x:v>36197</x:v>
      </x:c>
      <x:c r="J9" s="48" t="n">
        <x:f>I9-H9</x:f>
        <x:v>2530</x:v>
      </x:c>
      <x:c r="K9" s="18" t="n">
        <x:f>IFERROR(I9/D9,0)</x:f>
        <x:v>0.4760883861633566</x:v>
      </x:c>
    </x:row>
    <x:row r="10">
      <x:c r="A10" s="13" t="d">
        <x:v>2025-02-01T00:00:00.000Z</x:v>
      </x:c>
      <x:c r="B10" s="14" t="str">
        <x:v>Subscriptions</x:v>
      </x:c>
      <x:c r="C10" s="47" t="n">
        <x:v>46264</x:v>
      </x:c>
      <x:c r="D10" s="47" t="n">
        <x:v>45801</x:v>
      </x:c>
      <x:c r="E10" s="47" t="n">
        <x:v>15421</x:v>
      </x:c>
      <x:c r="F10" s="47" t="n">
        <x:v>15884</x:v>
      </x:c>
      <x:c r="G10" s="48" t="n">
        <x:f>D10-C10</x:f>
        <x:v>-463</x:v>
      </x:c>
      <x:c r="H10" s="48" t="n">
        <x:f>C10-E10</x:f>
        <x:v>30843</x:v>
      </x:c>
      <x:c r="I10" s="48" t="n">
        <x:f>D10-F10</x:f>
        <x:v>29917</x:v>
      </x:c>
      <x:c r="J10" s="48" t="n">
        <x:f>I10-H10</x:f>
        <x:v>-926</x:v>
      </x:c>
      <x:c r="K10" s="18" t="n">
        <x:f>IFERROR(I10/D10,0)</x:f>
        <x:v>0.6531953450798017</x:v>
      </x:c>
    </x:row>
    <x:row r="11">
      <x:c r="A11" s="13" t="d">
        <x:v>2025-03-01T00:00:00.000Z</x:v>
      </x:c>
      <x:c r="B11" s="14" t="str">
        <x:v>Product</x:v>
      </x:c>
      <x:c r="C11" s="47" t="n">
        <x:v>117600</x:v>
      </x:c>
      <x:c r="D11" s="47" t="n">
        <x:v>122304</x:v>
      </x:c>
      <x:c r="E11" s="47" t="n">
        <x:v>61740</x:v>
      </x:c>
      <x:c r="F11" s="47" t="n">
        <x:v>60505</x:v>
      </x:c>
      <x:c r="G11" s="48" t="n">
        <x:f>D11-C11</x:f>
        <x:v>4704</x:v>
      </x:c>
      <x:c r="H11" s="48" t="n">
        <x:f>C11-E11</x:f>
        <x:v>55860</x:v>
      </x:c>
      <x:c r="I11" s="48" t="n">
        <x:f>D11-F11</x:f>
        <x:v>61799</x:v>
      </x:c>
      <x:c r="J11" s="48" t="n">
        <x:f>I11-H11</x:f>
        <x:v>5939</x:v>
      </x:c>
      <x:c r="K11" s="18" t="n">
        <x:f>IFERROR(I11/D11,0)</x:f>
        <x:v>0.505290096807954</x:v>
      </x:c>
    </x:row>
    <x:row r="12">
      <x:c r="A12" s="13" t="d">
        <x:v>2025-03-01T00:00:00.000Z</x:v>
      </x:c>
      <x:c r="B12" s="14" t="str">
        <x:v>Services</x:v>
      </x:c>
      <x:c r="C12" s="47" t="n">
        <x:v>74629</x:v>
      </x:c>
      <x:c r="D12" s="47" t="n">
        <x:v>73883</x:v>
      </x:c>
      <x:c r="E12" s="47" t="n">
        <x:v>40260</x:v>
      </x:c>
      <x:c r="F12" s="47" t="n">
        <x:v>40260</x:v>
      </x:c>
      <x:c r="G12" s="48" t="n">
        <x:f>D12-C12</x:f>
        <x:v>-746</x:v>
      </x:c>
      <x:c r="H12" s="48" t="n">
        <x:f>C12-E12</x:f>
        <x:v>34369</x:v>
      </x:c>
      <x:c r="I12" s="48" t="n">
        <x:f>D12-F12</x:f>
        <x:v>33623</x:v>
      </x:c>
      <x:c r="J12" s="48" t="n">
        <x:f>I12-H12</x:f>
        <x:v>-746</x:v>
      </x:c>
      <x:c r="K12" s="18" t="n">
        <x:f>IFERROR(I12/D12,0)</x:f>
        <x:v>0.4550843901844809</x:v>
      </x:c>
    </x:row>
    <x:row r="13">
      <x:c r="A13" s="13" t="d">
        <x:v>2025-03-01T00:00:00.000Z</x:v>
      </x:c>
      <x:c r="B13" s="14" t="str">
        <x:v>Subscriptions</x:v>
      </x:c>
      <x:c r="C13" s="47" t="n">
        <x:v>47228</x:v>
      </x:c>
      <x:c r="D13" s="47" t="n">
        <x:v>50062</x:v>
      </x:c>
      <x:c r="E13" s="47" t="n">
        <x:v>15743</x:v>
      </x:c>
      <x:c r="F13" s="47" t="n">
        <x:v>15586</x:v>
      </x:c>
      <x:c r="G13" s="48" t="n">
        <x:f>D13-C13</x:f>
        <x:v>2834</x:v>
      </x:c>
      <x:c r="H13" s="48" t="n">
        <x:f>C13-E13</x:f>
        <x:v>31485</x:v>
      </x:c>
      <x:c r="I13" s="48" t="n">
        <x:f>D13-F13</x:f>
        <x:v>34476</x:v>
      </x:c>
      <x:c r="J13" s="48" t="n">
        <x:f>I13-H13</x:f>
        <x:v>2991</x:v>
      </x:c>
      <x:c r="K13" s="18" t="n">
        <x:f>IFERROR(I13/D13,0)</x:f>
        <x:v>0.6886660540929248</x:v>
      </x:c>
    </x:row>
    <x:row r="14">
      <x:c r="A14" s="13" t="d">
        <x:v>2025-04-01T00:00:00.000Z</x:v>
      </x:c>
      <x:c r="B14" s="14" t="str">
        <x:v>Product</x:v>
      </x:c>
      <x:c r="C14" s="47" t="n">
        <x:v>120000</x:v>
      </x:c>
      <x:c r="D14" s="47" t="n">
        <x:v>118800</x:v>
      </x:c>
      <x:c r="E14" s="47" t="n">
        <x:v>63000</x:v>
      </x:c>
      <x:c r="F14" s="47" t="n">
        <x:v>63630</x:v>
      </x:c>
      <x:c r="G14" s="48" t="n">
        <x:f>D14-C14</x:f>
        <x:v>-1200</x:v>
      </x:c>
      <x:c r="H14" s="48" t="n">
        <x:f>C14-E14</x:f>
        <x:v>57000</x:v>
      </x:c>
      <x:c r="I14" s="48" t="n">
        <x:f>D14-F14</x:f>
        <x:v>55170</x:v>
      </x:c>
      <x:c r="J14" s="48" t="n">
        <x:f>I14-H14</x:f>
        <x:v>-1830</x:v>
      </x:c>
      <x:c r="K14" s="18" t="n">
        <x:f>IFERROR(I14/D14,0)</x:f>
        <x:v>0.4643939393939394</x:v>
      </x:c>
    </x:row>
    <x:row r="15">
      <x:c r="A15" s="13" t="d">
        <x:v>2025-04-01T00:00:00.000Z</x:v>
      </x:c>
      <x:c r="B15" s="14" t="str">
        <x:v>Services</x:v>
      </x:c>
      <x:c r="C15" s="47" t="n">
        <x:v>76152</x:v>
      </x:c>
      <x:c r="D15" s="47" t="n">
        <x:v>80721</x:v>
      </x:c>
      <x:c r="E15" s="47" t="n">
        <x:v>41082</x:v>
      </x:c>
      <x:c r="F15" s="47" t="n">
        <x:v>42314</x:v>
      </x:c>
      <x:c r="G15" s="48" t="n">
        <x:f>D15-C15</x:f>
        <x:v>4569</x:v>
      </x:c>
      <x:c r="H15" s="48" t="n">
        <x:f>C15-E15</x:f>
        <x:v>35070</x:v>
      </x:c>
      <x:c r="I15" s="48" t="n">
        <x:f>D15-F15</x:f>
        <x:v>38407</x:v>
      </x:c>
      <x:c r="J15" s="48" t="n">
        <x:f>I15-H15</x:f>
        <x:v>3337</x:v>
      </x:c>
      <x:c r="K15" s="18" t="n">
        <x:f>IFERROR(I15/D15,0)</x:f>
        <x:v>0.4757993582834702</x:v>
      </x:c>
    </x:row>
    <x:row r="16">
      <x:c r="A16" s="13" t="d">
        <x:v>2025-04-01T00:00:00.000Z</x:v>
      </x:c>
      <x:c r="B16" s="14" t="str">
        <x:v>Subscriptions</x:v>
      </x:c>
      <x:c r="C16" s="47" t="n">
        <x:v>48192</x:v>
      </x:c>
      <x:c r="D16" s="47" t="n">
        <x:v>49638</x:v>
      </x:c>
      <x:c r="E16" s="47" t="n">
        <x:v>16064</x:v>
      </x:c>
      <x:c r="F16" s="47" t="n">
        <x:v>16385</x:v>
      </x:c>
      <x:c r="G16" s="48" t="n">
        <x:f>D16-C16</x:f>
        <x:v>1446</x:v>
      </x:c>
      <x:c r="H16" s="48" t="n">
        <x:f>C16-E16</x:f>
        <x:v>32128</x:v>
      </x:c>
      <x:c r="I16" s="48" t="n">
        <x:f>D16-F16</x:f>
        <x:v>33253</x:v>
      </x:c>
      <x:c r="J16" s="48" t="n">
        <x:f>I16-H16</x:f>
        <x:v>1125</x:v>
      </x:c>
      <x:c r="K16" s="18" t="n">
        <x:f>IFERROR(I16/D16,0)</x:f>
        <x:v>0.6699101494822515</x:v>
      </x:c>
    </x:row>
    <x:row r="17">
      <x:c r="A17" s="13" t="d">
        <x:v>2025-05-01T00:00:00.000Z</x:v>
      </x:c>
      <x:c r="B17" s="14" t="str">
        <x:v>Product</x:v>
      </x:c>
      <x:c r="C17" s="47" t="n">
        <x:v>121200</x:v>
      </x:c>
      <x:c r="D17" s="47" t="n">
        <x:v>128472</x:v>
      </x:c>
      <x:c r="E17" s="47" t="n">
        <x:v>63630</x:v>
      </x:c>
      <x:c r="F17" s="47" t="n">
        <x:v>63630</x:v>
      </x:c>
      <x:c r="G17" s="48" t="n">
        <x:f>D17-C17</x:f>
        <x:v>7272</x:v>
      </x:c>
      <x:c r="H17" s="48" t="n">
        <x:f>C17-E17</x:f>
        <x:v>57570</x:v>
      </x:c>
      <x:c r="I17" s="48" t="n">
        <x:f>D17-F17</x:f>
        <x:v>64842</x:v>
      </x:c>
      <x:c r="J17" s="48" t="n">
        <x:f>I17-H17</x:f>
        <x:v>7272</x:v>
      </x:c>
      <x:c r="K17" s="18" t="n">
        <x:f>IFERROR(I17/D17,0)</x:f>
        <x:v>0.5047169811320755</x:v>
      </x:c>
    </x:row>
    <x:row r="18">
      <x:c r="A18" s="13" t="d">
        <x:v>2025-05-01T00:00:00.000Z</x:v>
      </x:c>
      <x:c r="B18" s="14" t="str">
        <x:v>Services</x:v>
      </x:c>
      <x:c r="C18" s="47" t="n">
        <x:v>76914</x:v>
      </x:c>
      <x:c r="D18" s="47" t="n">
        <x:v>79221</x:v>
      </x:c>
      <x:c r="E18" s="47" t="n">
        <x:v>41493</x:v>
      </x:c>
      <x:c r="F18" s="47" t="n">
        <x:v>41078</x:v>
      </x:c>
      <x:c r="G18" s="48" t="n">
        <x:f>D18-C18</x:f>
        <x:v>2307</x:v>
      </x:c>
      <x:c r="H18" s="48" t="n">
        <x:f>C18-E18</x:f>
        <x:v>35421</x:v>
      </x:c>
      <x:c r="I18" s="48" t="n">
        <x:f>D18-F18</x:f>
        <x:v>38143</x:v>
      </x:c>
      <x:c r="J18" s="48" t="n">
        <x:f>I18-H18</x:f>
        <x:v>2722</x:v>
      </x:c>
      <x:c r="K18" s="18" t="n">
        <x:f>IFERROR(I18/D18,0)</x:f>
        <x:v>0.4814758712967521</x:v>
      </x:c>
    </x:row>
    <x:row r="19">
      <x:c r="A19" s="13" t="d">
        <x:v>2025-05-01T00:00:00.000Z</x:v>
      </x:c>
      <x:c r="B19" s="14" t="str">
        <x:v>Subscriptions</x:v>
      </x:c>
      <x:c r="C19" s="47" t="n">
        <x:v>48674</x:v>
      </x:c>
      <x:c r="D19" s="47" t="n">
        <x:v>48674</x:v>
      </x:c>
      <x:c r="E19" s="47" t="n">
        <x:v>16225</x:v>
      </x:c>
      <x:c r="F19" s="47" t="n">
        <x:v>15738</x:v>
      </x:c>
      <x:c r="G19" s="48" t="n">
        <x:f>D19-C19</x:f>
        <x:v>0</x:v>
      </x:c>
      <x:c r="H19" s="48" t="n">
        <x:f>C19-E19</x:f>
        <x:v>32449</x:v>
      </x:c>
      <x:c r="I19" s="48" t="n">
        <x:f>D19-F19</x:f>
        <x:v>32936</x:v>
      </x:c>
      <x:c r="J19" s="48" t="n">
        <x:f>I19-H19</x:f>
        <x:v>487</x:v>
      </x:c>
      <x:c r="K19" s="18" t="n">
        <x:f>IFERROR(I19/D19,0)</x:f>
        <x:v>0.6766651600443768</x:v>
      </x:c>
    </x:row>
    <x:row r="20">
      <x:c r="A20" s="13" t="d">
        <x:v>2025-06-01T00:00:00.000Z</x:v>
      </x:c>
      <x:c r="B20" s="14" t="str">
        <x:v>Product</x:v>
      </x:c>
      <x:c r="C20" s="47" t="n">
        <x:v>122400</x:v>
      </x:c>
      <x:c r="D20" s="47" t="n">
        <x:v>126072</x:v>
      </x:c>
      <x:c r="E20" s="47" t="n">
        <x:v>64260</x:v>
      </x:c>
      <x:c r="F20" s="47" t="n">
        <x:v>66188</x:v>
      </x:c>
      <x:c r="G20" s="48" t="n">
        <x:f>D20-C20</x:f>
        <x:v>3672</x:v>
      </x:c>
      <x:c r="H20" s="48" t="n">
        <x:f>C20-E20</x:f>
        <x:v>58140</x:v>
      </x:c>
      <x:c r="I20" s="48" t="n">
        <x:f>D20-F20</x:f>
        <x:v>59884</x:v>
      </x:c>
      <x:c r="J20" s="48" t="n">
        <x:f>I20-H20</x:f>
        <x:v>1744</x:v>
      </x:c>
      <x:c r="K20" s="18" t="n">
        <x:f>IFERROR(I20/D20,0)</x:f>
        <x:v>0.4749984136049242</x:v>
      </x:c>
    </x:row>
    <x:row r="21">
      <x:c r="A21" s="13" t="d">
        <x:v>2025-06-01T00:00:00.000Z</x:v>
      </x:c>
      <x:c r="B21" s="14" t="str">
        <x:v>Services</x:v>
      </x:c>
      <x:c r="C21" s="47" t="n">
        <x:v>77675</x:v>
      </x:c>
      <x:c r="D21" s="47" t="n">
        <x:v>77675</x:v>
      </x:c>
      <x:c r="E21" s="47" t="n">
        <x:v>41904</x:v>
      </x:c>
      <x:c r="F21" s="47" t="n">
        <x:v>42742</x:v>
      </x:c>
      <x:c r="G21" s="48" t="n">
        <x:f>D21-C21</x:f>
        <x:v>0</x:v>
      </x:c>
      <x:c r="H21" s="48" t="n">
        <x:f>C21-E21</x:f>
        <x:v>35771</x:v>
      </x:c>
      <x:c r="I21" s="48" t="n">
        <x:f>D21-F21</x:f>
        <x:v>34933</x:v>
      </x:c>
      <x:c r="J21" s="48" t="n">
        <x:f>I21-H21</x:f>
        <x:v>-838</x:v>
      </x:c>
      <x:c r="K21" s="18" t="n">
        <x:f>IFERROR(I21/D21,0)</x:f>
        <x:v>0.44973286128097845</x:v>
      </x:c>
    </x:row>
    <x:row r="22">
      <x:c r="A22" s="13" t="d">
        <x:v>2025-06-01T00:00:00.000Z</x:v>
      </x:c>
      <x:c r="B22" s="14" t="str">
        <x:v>Subscriptions</x:v>
      </x:c>
      <x:c r="C22" s="47" t="n">
        <x:v>49156</x:v>
      </x:c>
      <x:c r="D22" s="47" t="n">
        <x:v>53088</x:v>
      </x:c>
      <x:c r="E22" s="47" t="n">
        <x:v>16385</x:v>
      </x:c>
      <x:c r="F22" s="47" t="n">
        <x:v>16549</x:v>
      </x:c>
      <x:c r="G22" s="48" t="n">
        <x:f>D22-C22</x:f>
        <x:v>3932</x:v>
      </x:c>
      <x:c r="H22" s="48" t="n">
        <x:f>C22-E22</x:f>
        <x:v>32771</x:v>
      </x:c>
      <x:c r="I22" s="48" t="n">
        <x:f>D22-F22</x:f>
        <x:v>36539</x:v>
      </x:c>
      <x:c r="J22" s="48" t="n">
        <x:f>I22-H22</x:f>
        <x:v>3768</x:v>
      </x:c>
      <x:c r="K22" s="18" t="n">
        <x:f>IFERROR(I22/D22,0)</x:f>
        <x:v>0.6882723025919228</x:v>
      </x:c>
    </x:row>
    <x:row r="23">
      <x:c r="A23" s="13" t="d">
        <x:v>2025-07-01T00:00:00.000Z</x:v>
      </x:c>
      <x:c r="B23" s="14" t="str">
        <x:v>Product</x:v>
      </x:c>
      <x:c r="C23" s="47" t="n">
        <x:v>123600</x:v>
      </x:c>
      <x:c r="D23" s="47" t="n">
        <x:v>123600</x:v>
      </x:c>
      <x:c r="E23" s="47" t="n">
        <x:v>64890</x:v>
      </x:c>
      <x:c r="F23" s="47" t="n">
        <x:v>64241</x:v>
      </x:c>
      <x:c r="G23" s="48" t="n">
        <x:f>D23-C23</x:f>
        <x:v>0</x:v>
      </x:c>
      <x:c r="H23" s="48" t="n">
        <x:f>C23-E23</x:f>
        <x:v>58710</x:v>
      </x:c>
      <x:c r="I23" s="48" t="n">
        <x:f>D23-F23</x:f>
        <x:v>59359</x:v>
      </x:c>
      <x:c r="J23" s="48" t="n">
        <x:f>I23-H23</x:f>
        <x:v>649</x:v>
      </x:c>
      <x:c r="K23" s="18" t="n">
        <x:f>IFERROR(I23/D23,0)</x:f>
        <x:v>0.48025080906148865</x:v>
      </x:c>
    </x:row>
    <x:row r="24">
      <x:c r="A24" s="13" t="d">
        <x:v>2025-07-01T00:00:00.000Z</x:v>
      </x:c>
      <x:c r="B24" s="14" t="str">
        <x:v>Services</x:v>
      </x:c>
      <x:c r="C24" s="47" t="n">
        <x:v>78437</x:v>
      </x:c>
      <x:c r="D24" s="47" t="n">
        <x:v>84712</x:v>
      </x:c>
      <x:c r="E24" s="47" t="n">
        <x:v>42314</x:v>
      </x:c>
      <x:c r="F24" s="47" t="n">
        <x:v>41045</x:v>
      </x:c>
      <x:c r="G24" s="48" t="n">
        <x:f>D24-C24</x:f>
        <x:v>6275</x:v>
      </x:c>
      <x:c r="H24" s="48" t="n">
        <x:f>C24-E24</x:f>
        <x:v>36123</x:v>
      </x:c>
      <x:c r="I24" s="48" t="n">
        <x:f>D24-F24</x:f>
        <x:v>43667</x:v>
      </x:c>
      <x:c r="J24" s="48" t="n">
        <x:f>I24-H24</x:f>
        <x:v>7544</x:v>
      </x:c>
      <x:c r="K24" s="18" t="n">
        <x:f>IFERROR(I24/D24,0)</x:f>
        <x:v>0.5154759656247049</x:v>
      </x:c>
    </x:row>
    <x:row r="25">
      <x:c r="A25" s="13" t="d">
        <x:v>2025-07-01T00:00:00.000Z</x:v>
      </x:c>
      <x:c r="B25" s="14" t="str">
        <x:v>Subscriptions</x:v>
      </x:c>
      <x:c r="C25" s="47" t="n">
        <x:v>49638</x:v>
      </x:c>
      <x:c r="D25" s="47" t="n">
        <x:v>50631</x:v>
      </x:c>
      <x:c r="E25" s="47" t="n">
        <x:v>16546</x:v>
      </x:c>
      <x:c r="F25" s="47" t="n">
        <x:v>16546</x:v>
      </x:c>
      <x:c r="G25" s="48" t="n">
        <x:f>D25-C25</x:f>
        <x:v>993</x:v>
      </x:c>
      <x:c r="H25" s="48" t="n">
        <x:f>C25-E25</x:f>
        <x:v>33092</x:v>
      </x:c>
      <x:c r="I25" s="48" t="n">
        <x:f>D25-F25</x:f>
        <x:v>34085</x:v>
      </x:c>
      <x:c r="J25" s="48" t="n">
        <x:f>I25-H25</x:f>
        <x:v>993</x:v>
      </x:c>
      <x:c r="K25" s="18" t="n">
        <x:f>IFERROR(I25/D25,0)</x:f>
        <x:v>0.6732041634571705</x:v>
      </x:c>
    </x:row>
    <x:row r="26">
      <x:c r="A26" s="13" t="d">
        <x:v>2025-08-01T00:00:00.000Z</x:v>
      </x:c>
      <x:c r="B26" s="14" t="str">
        <x:v>Product</x:v>
      </x:c>
      <x:c r="C26" s="47" t="n">
        <x:v>124800</x:v>
      </x:c>
      <x:c r="D26" s="47" t="n">
        <x:v>134784</x:v>
      </x:c>
      <x:c r="E26" s="47" t="n">
        <x:v>65520</x:v>
      </x:c>
      <x:c r="F26" s="47" t="n">
        <x:v>66830</x:v>
      </x:c>
      <x:c r="G26" s="48" t="n">
        <x:f>D26-C26</x:f>
        <x:v>9984</x:v>
      </x:c>
      <x:c r="H26" s="48" t="n">
        <x:f>C26-E26</x:f>
        <x:v>59280</x:v>
      </x:c>
      <x:c r="I26" s="48" t="n">
        <x:f>D26-F26</x:f>
        <x:v>67954</x:v>
      </x:c>
      <x:c r="J26" s="48" t="n">
        <x:f>I26-H26</x:f>
        <x:v>8674</x:v>
      </x:c>
      <x:c r="K26" s="18" t="n">
        <x:f>IFERROR(I26/D26,0)</x:f>
        <x:v>0.5041696343779677</x:v>
      </x:c>
    </x:row>
    <x:row r="27">
      <x:c r="A27" s="13" t="d">
        <x:v>2025-08-01T00:00:00.000Z</x:v>
      </x:c>
      <x:c r="B27" s="14" t="str">
        <x:v>Services</x:v>
      </x:c>
      <x:c r="C27" s="47" t="n">
        <x:v>79198</x:v>
      </x:c>
      <x:c r="D27" s="47" t="n">
        <x:v>80782</x:v>
      </x:c>
      <x:c r="E27" s="47" t="n">
        <x:v>42725</x:v>
      </x:c>
      <x:c r="F27" s="47" t="n">
        <x:v>43152</x:v>
      </x:c>
      <x:c r="G27" s="48" t="n">
        <x:f>D27-C27</x:f>
        <x:v>1584</x:v>
      </x:c>
      <x:c r="H27" s="48" t="n">
        <x:f>C27-E27</x:f>
        <x:v>36473</x:v>
      </x:c>
      <x:c r="I27" s="48" t="n">
        <x:f>D27-F27</x:f>
        <x:v>37630</x:v>
      </x:c>
      <x:c r="J27" s="48" t="n">
        <x:f>I27-H27</x:f>
        <x:v>1157</x:v>
      </x:c>
      <x:c r="K27" s="18" t="n">
        <x:f>IFERROR(I27/D27,0)</x:f>
        <x:v>0.4658215939194375</x:v>
      </x:c>
    </x:row>
    <x:row r="28">
      <x:c r="A28" s="13" t="d">
        <x:v>2025-08-01T00:00:00.000Z</x:v>
      </x:c>
      <x:c r="B28" s="14" t="str">
        <x:v>Subscriptions</x:v>
      </x:c>
      <x:c r="C28" s="47" t="n">
        <x:v>50120</x:v>
      </x:c>
      <x:c r="D28" s="47" t="n">
        <x:v>52626</x:v>
      </x:c>
      <x:c r="E28" s="47" t="n">
        <x:v>16707</x:v>
      </x:c>
      <x:c r="F28" s="47" t="n">
        <x:v>17375</x:v>
      </x:c>
      <x:c r="G28" s="48" t="n">
        <x:f>D28-C28</x:f>
        <x:v>2506</x:v>
      </x:c>
      <x:c r="H28" s="48" t="n">
        <x:f>C28-E28</x:f>
        <x:v>33413</x:v>
      </x:c>
      <x:c r="I28" s="48" t="n">
        <x:f>D28-F28</x:f>
        <x:v>35251</x:v>
      </x:c>
      <x:c r="J28" s="48" t="n">
        <x:f>I28-H28</x:f>
        <x:v>1838</x:v>
      </x:c>
      <x:c r="K28" s="18" t="n">
        <x:f>IFERROR(I28/D28,0)</x:f>
        <x:v>0.6698400030403223</x:v>
      </x:c>
    </x:row>
    <x:row r="29">
      <x:c r="A29" s="13" t="d">
        <x:v>2025-09-01T00:00:00.000Z</x:v>
      </x:c>
      <x:c r="B29" s="14" t="str">
        <x:v>Product</x:v>
      </x:c>
      <x:c r="C29" s="47" t="n">
        <x:v>122400</x:v>
      </x:c>
      <x:c r="D29" s="47" t="n">
        <x:v>124848</x:v>
      </x:c>
      <x:c r="E29" s="47" t="n">
        <x:v>64260</x:v>
      </x:c>
      <x:c r="F29" s="47" t="n">
        <x:v>62332</x:v>
      </x:c>
      <x:c r="G29" s="48" t="n">
        <x:f>D29-C29</x:f>
        <x:v>2448</x:v>
      </x:c>
      <x:c r="H29" s="48" t="n">
        <x:f>C29-E29</x:f>
        <x:v>58140</x:v>
      </x:c>
      <x:c r="I29" s="48" t="n">
        <x:f>D29-F29</x:f>
        <x:v>62516</x:v>
      </x:c>
      <x:c r="J29" s="48" t="n">
        <x:f>I29-H29</x:f>
        <x:v>4376</x:v>
      </x:c>
      <x:c r="K29" s="18" t="n">
        <x:f>IFERROR(I29/D29,0)</x:f>
        <x:v>0.5007368960656158</x:v>
      </x:c>
    </x:row>
    <x:row r="30">
      <x:c r="A30" s="13" t="d">
        <x:v>2025-09-01T00:00:00.000Z</x:v>
      </x:c>
      <x:c r="B30" s="14" t="str">
        <x:v>Services</x:v>
      </x:c>
      <x:c r="C30" s="47" t="n">
        <x:v>77675</x:v>
      </x:c>
      <x:c r="D30" s="47" t="n">
        <x:v>81559</x:v>
      </x:c>
      <x:c r="E30" s="47" t="n">
        <x:v>41904</x:v>
      </x:c>
      <x:c r="F30" s="47" t="n">
        <x:v>41904</x:v>
      </x:c>
      <x:c r="G30" s="48" t="n">
        <x:f>D30-C30</x:f>
        <x:v>3884</x:v>
      </x:c>
      <x:c r="H30" s="48" t="n">
        <x:f>C30-E30</x:f>
        <x:v>35771</x:v>
      </x:c>
      <x:c r="I30" s="48" t="n">
        <x:f>D30-F30</x:f>
        <x:v>39655</x:v>
      </x:c>
      <x:c r="J30" s="48" t="n">
        <x:f>I30-H30</x:f>
        <x:v>3884</x:v>
      </x:c>
      <x:c r="K30" s="18" t="n">
        <x:f>IFERROR(I30/D30,0)</x:f>
        <x:v>0.4862124351696318</x:v>
      </x:c>
    </x:row>
    <x:row r="31">
      <x:c r="A31" s="13" t="d">
        <x:v>2025-09-01T00:00:00.000Z</x:v>
      </x:c>
      <x:c r="B31" s="14" t="str">
        <x:v>Subscriptions</x:v>
      </x:c>
      <x:c r="C31" s="47" t="n">
        <x:v>49156</x:v>
      </x:c>
      <x:c r="D31" s="47" t="n">
        <x:v>53580</x:v>
      </x:c>
      <x:c r="E31" s="47" t="n">
        <x:v>16385</x:v>
      </x:c>
      <x:c r="F31" s="47" t="n">
        <x:v>16713</x:v>
      </x:c>
      <x:c r="G31" s="48" t="n">
        <x:f>D31-C31</x:f>
        <x:v>4424</x:v>
      </x:c>
      <x:c r="H31" s="48" t="n">
        <x:f>C31-E31</x:f>
        <x:v>32771</x:v>
      </x:c>
      <x:c r="I31" s="48" t="n">
        <x:f>D31-F31</x:f>
        <x:v>36867</x:v>
      </x:c>
      <x:c r="J31" s="48" t="n">
        <x:f>I31-H31</x:f>
        <x:v>4096</x:v>
      </x:c>
      <x:c r="K31" s="18" t="n">
        <x:f>IFERROR(I31/D31,0)</x:f>
        <x:v>0.688073908174692</x:v>
      </x:c>
    </x:row>
    <x:row r="32">
      <x:c r="A32" s="13" t="d">
        <x:v>2025-10-01T00:00:00.000Z</x:v>
      </x:c>
      <x:c r="B32" s="14" t="str">
        <x:v>Product</x:v>
      </x:c>
      <x:c r="C32" s="47" t="n">
        <x:v>126000</x:v>
      </x:c>
      <x:c r="D32" s="47" t="n">
        <x:v>132300</x:v>
      </x:c>
      <x:c r="E32" s="47" t="n">
        <x:v>66150</x:v>
      </x:c>
      <x:c r="F32" s="47" t="n">
        <x:v>66812</x:v>
      </x:c>
      <x:c r="G32" s="48" t="n">
        <x:f>D32-C32</x:f>
        <x:v>6300</x:v>
      </x:c>
      <x:c r="H32" s="48" t="n">
        <x:f>C32-E32</x:f>
        <x:v>59850</x:v>
      </x:c>
      <x:c r="I32" s="48" t="n">
        <x:f>D32-F32</x:f>
        <x:v>65488</x:v>
      </x:c>
      <x:c r="J32" s="48" t="n">
        <x:f>I32-H32</x:f>
        <x:v>5638</x:v>
      </x:c>
      <x:c r="K32" s="18" t="n">
        <x:f>IFERROR(I32/D32,0)</x:f>
        <x:v>0.4949962207105064</x:v>
      </x:c>
    </x:row>
    <x:row r="33">
      <x:c r="A33" s="13" t="d">
        <x:v>2025-10-01T00:00:00.000Z</x:v>
      </x:c>
      <x:c r="B33" s="14" t="str">
        <x:v>Services</x:v>
      </x:c>
      <x:c r="C33" s="47" t="n">
        <x:v>79960</x:v>
      </x:c>
      <x:c r="D33" s="47" t="n">
        <x:v>87156</x:v>
      </x:c>
      <x:c r="E33" s="47" t="n">
        <x:v>43136</x:v>
      </x:c>
      <x:c r="F33" s="47" t="n">
        <x:v>44861</x:v>
      </x:c>
      <x:c r="G33" s="48" t="n">
        <x:f>D33-C33</x:f>
        <x:v>7196</x:v>
      </x:c>
      <x:c r="H33" s="48" t="n">
        <x:f>C33-E33</x:f>
        <x:v>36824</x:v>
      </x:c>
      <x:c r="I33" s="48" t="n">
        <x:f>D33-F33</x:f>
        <x:v>42295</x:v>
      </x:c>
      <x:c r="J33" s="48" t="n">
        <x:f>I33-H33</x:f>
        <x:v>5471</x:v>
      </x:c>
      <x:c r="K33" s="18" t="n">
        <x:f>IFERROR(I33/D33,0)</x:f>
        <x:v>0.4852792693560971</x:v>
      </x:c>
    </x:row>
    <x:row r="34">
      <x:c r="A34" s="13" t="d">
        <x:v>2025-10-01T00:00:00.000Z</x:v>
      </x:c>
      <x:c r="B34" s="14" t="str">
        <x:v>Subscriptions</x:v>
      </x:c>
      <x:c r="C34" s="47" t="n">
        <x:v>50602</x:v>
      </x:c>
      <x:c r="D34" s="47" t="n">
        <x:v>57686</x:v>
      </x:c>
      <x:c r="E34" s="47" t="n">
        <x:v>16867</x:v>
      </x:c>
      <x:c r="F34" s="47" t="n">
        <x:v>16867</x:v>
      </x:c>
      <x:c r="G34" s="48" t="n">
        <x:f>D34-C34</x:f>
        <x:v>7084</x:v>
      </x:c>
      <x:c r="H34" s="48" t="n">
        <x:f>C34-E34</x:f>
        <x:v>33735</x:v>
      </x:c>
      <x:c r="I34" s="48" t="n">
        <x:f>D34-F34</x:f>
        <x:v>40819</x:v>
      </x:c>
      <x:c r="J34" s="48" t="n">
        <x:f>I34-H34</x:f>
        <x:v>7084</x:v>
      </x:c>
      <x:c r="K34" s="18" t="n">
        <x:f>IFERROR(I34/D34,0)</x:f>
        <x:v>0.707606698332351</x:v>
      </x:c>
    </x:row>
    <x:row r="35">
      <x:c r="A35" s="13" t="d">
        <x:v>2025-11-01T00:00:00.000Z</x:v>
      </x:c>
      <x:c r="B35" s="14" t="str">
        <x:v>Product</x:v>
      </x:c>
      <x:c r="C35" s="47" t="n">
        <x:v>130800</x:v>
      </x:c>
      <x:c r="D35" s="47" t="n">
        <x:v>142572</x:v>
      </x:c>
      <x:c r="E35" s="47" t="n">
        <x:v>68670</x:v>
      </x:c>
      <x:c r="F35" s="47" t="n">
        <x:v>68670</x:v>
      </x:c>
      <x:c r="G35" s="48" t="n">
        <x:f>D35-C35</x:f>
        <x:v>11772</x:v>
      </x:c>
      <x:c r="H35" s="48" t="n">
        <x:f>C35-E35</x:f>
        <x:v>62130</x:v>
      </x:c>
      <x:c r="I35" s="48" t="n">
        <x:f>D35-F35</x:f>
        <x:v>73902</x:v>
      </x:c>
      <x:c r="J35" s="48" t="n">
        <x:f>I35-H35</x:f>
        <x:v>11772</x:v>
      </x:c>
      <x:c r="K35" s="18" t="n">
        <x:f>IFERROR(I35/D35,0)</x:f>
        <x:v>0.518348623853211</x:v>
      </x:c>
    </x:row>
    <x:row r="36">
      <x:c r="A36" s="13" t="d">
        <x:v>2025-11-01T00:00:00.000Z</x:v>
      </x:c>
      <x:c r="B36" s="14" t="str">
        <x:v>Services</x:v>
      </x:c>
      <x:c r="C36" s="47" t="n">
        <x:v>83006</x:v>
      </x:c>
      <x:c r="D36" s="47" t="n">
        <x:v>94627</x:v>
      </x:c>
      <x:c r="E36" s="47" t="n">
        <x:v>44779</x:v>
      </x:c>
      <x:c r="F36" s="47" t="n">
        <x:v>45675</x:v>
      </x:c>
      <x:c r="G36" s="48" t="n">
        <x:f>D36-C36</x:f>
        <x:v>11621</x:v>
      </x:c>
      <x:c r="H36" s="48" t="n">
        <x:f>C36-E36</x:f>
        <x:v>38227</x:v>
      </x:c>
      <x:c r="I36" s="48" t="n">
        <x:f>D36-F36</x:f>
        <x:v>48952</x:v>
      </x:c>
      <x:c r="J36" s="48" t="n">
        <x:f>I36-H36</x:f>
        <x:v>10725</x:v>
      </x:c>
      <x:c r="K36" s="18" t="n">
        <x:f>IFERROR(I36/D36,0)</x:f>
        <x:v>0.5173153539687404</x:v>
      </x:c>
    </x:row>
    <x:row r="37">
      <x:c r="A37" s="13" t="d">
        <x:v>2025-11-01T00:00:00.000Z</x:v>
      </x:c>
      <x:c r="B37" s="14" t="str">
        <x:v>Subscriptions</x:v>
      </x:c>
      <x:c r="C37" s="47" t="n">
        <x:v>52529</x:v>
      </x:c>
      <x:c r="D37" s="47" t="n">
        <x:v>50953</x:v>
      </x:c>
      <x:c r="E37" s="47" t="n">
        <x:v>17510</x:v>
      </x:c>
      <x:c r="F37" s="47" t="n">
        <x:v>17160</x:v>
      </x:c>
      <x:c r="G37" s="48" t="n">
        <x:f>D37-C37</x:f>
        <x:v>-1576</x:v>
      </x:c>
      <x:c r="H37" s="48" t="n">
        <x:f>C37-E37</x:f>
        <x:v>35019</x:v>
      </x:c>
      <x:c r="I37" s="48" t="n">
        <x:f>D37-F37</x:f>
        <x:v>33793</x:v>
      </x:c>
      <x:c r="J37" s="48" t="n">
        <x:f>I37-H37</x:f>
        <x:v>-1226</x:v>
      </x:c>
      <x:c r="K37" s="18" t="n">
        <x:f>IFERROR(I37/D37,0)</x:f>
        <x:v>0.663219045002257</x:v>
      </x:c>
    </x:row>
    <x:row r="38">
      <x:c r="A38" s="13" t="d">
        <x:v>2025-12-01T00:00:00.000Z</x:v>
      </x:c>
      <x:c r="B38" s="14" t="str">
        <x:v>Product</x:v>
      </x:c>
      <x:c r="C38" s="47" t="n">
        <x:v>141600</x:v>
      </x:c>
      <x:c r="D38" s="47" t="n">
        <x:v>161424</x:v>
      </x:c>
      <x:c r="E38" s="47" t="n">
        <x:v>74340</x:v>
      </x:c>
      <x:c r="F38" s="47" t="n">
        <x:v>77314</x:v>
      </x:c>
      <x:c r="G38" s="48" t="n">
        <x:f>D38-C38</x:f>
        <x:v>19824</x:v>
      </x:c>
      <x:c r="H38" s="48" t="n">
        <x:f>C38-E38</x:f>
        <x:v>67260</x:v>
      </x:c>
      <x:c r="I38" s="48" t="n">
        <x:f>D38-F38</x:f>
        <x:v>84110</x:v>
      </x:c>
      <x:c r="J38" s="48" t="n">
        <x:f>I38-H38</x:f>
        <x:v>16850</x:v>
      </x:c>
      <x:c r="K38" s="18" t="n">
        <x:f>IFERROR(I38/D38,0)</x:f>
        <x:v>0.5210501536326693</x:v>
      </x:c>
    </x:row>
    <x:row r="39">
      <x:c r="A39" s="13" t="d">
        <x:v>2025-12-01T00:00:00.000Z</x:v>
      </x:c>
      <x:c r="B39" s="14" t="str">
        <x:v>Services</x:v>
      </x:c>
      <x:c r="C39" s="47" t="n">
        <x:v>89859</x:v>
      </x:c>
      <x:c r="D39" s="47" t="n">
        <x:v>87163</x:v>
      </x:c>
      <x:c r="E39" s="47" t="n">
        <x:v>48477</x:v>
      </x:c>
      <x:c r="F39" s="47" t="n">
        <x:v>48477</x:v>
      </x:c>
      <x:c r="G39" s="48" t="n">
        <x:f>D39-C39</x:f>
        <x:v>-2696</x:v>
      </x:c>
      <x:c r="H39" s="48" t="n">
        <x:f>C39-E39</x:f>
        <x:v>41382</x:v>
      </x:c>
      <x:c r="I39" s="48" t="n">
        <x:f>D39-F39</x:f>
        <x:v>38686</x:v>
      </x:c>
      <x:c r="J39" s="48" t="n">
        <x:f>I39-H39</x:f>
        <x:v>-2696</x:v>
      </x:c>
      <x:c r="K39" s="18" t="n">
        <x:f>IFERROR(I39/D39,0)</x:f>
        <x:v>0.4438351135229398</x:v>
      </x:c>
    </x:row>
    <x:row r="40">
      <x:c r="A40" s="13" t="d">
        <x:v>2025-12-01T00:00:00.000Z</x:v>
      </x:c>
      <x:c r="B40" s="14" t="str">
        <x:v>Subscriptions</x:v>
      </x:c>
      <x:c r="C40" s="47" t="n">
        <x:v>56867</x:v>
      </x:c>
      <x:c r="D40" s="47" t="n">
        <x:v>57436</x:v>
      </x:c>
      <x:c r="E40" s="47" t="n">
        <x:v>18956</x:v>
      </x:c>
      <x:c r="F40" s="47" t="n">
        <x:v>19146</x:v>
      </x:c>
      <x:c r="G40" s="48" t="n">
        <x:f>D40-C40</x:f>
        <x:v>569</x:v>
      </x:c>
      <x:c r="H40" s="48" t="n">
        <x:f>C40-E40</x:f>
        <x:v>37911</x:v>
      </x:c>
      <x:c r="I40" s="48" t="n">
        <x:f>D40-F40</x:f>
        <x:v>38290</x:v>
      </x:c>
      <x:c r="J40" s="48" t="n">
        <x:f>I40-H40</x:f>
        <x:v>379</x:v>
      </x:c>
      <x:c r="K40" s="18" t="n">
        <x:f>IFERROR(I40/D40,0)</x:f>
        <x:v>0.6666550595445365</x:v>
      </x:c>
    </x:row>
  </x:sheetData>
  <x:mergeCells>
    <x:mergeCell ref="A1:K1"/>
    <x:mergeCell ref="A2:K2"/>
  </x:mergeCells>
  <x:pageMargins left="0.7" right="0.7" top="0.75" bottom="0.75" header="0.3" footer="0.3"/>
</x:worksheet>
</file>